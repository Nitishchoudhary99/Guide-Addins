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ITISH CHOUDHARY\Downloads\"/>
    </mc:Choice>
  </mc:AlternateContent>
  <xr:revisionPtr revIDLastSave="0" documentId="13_ncr:1_{165F8651-45F9-4BE4-A368-6700100A347D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Start here" sheetId="1" r:id="rId1"/>
    <sheet name="Examples" sheetId="2" r:id="rId2"/>
    <sheet name="Data" sheetId="3" r:id="rId3"/>
    <sheet name="Lists" sheetId="4" r:id="rId4"/>
  </sheets>
  <calcPr calcId="191029"/>
</workbook>
</file>

<file path=xl/calcChain.xml><?xml version="1.0" encoding="utf-8"?>
<calcChain xmlns="http://schemas.openxmlformats.org/spreadsheetml/2006/main">
  <c r="F24" i="2" l="1"/>
  <c r="F22" i="2"/>
  <c r="F21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3" i="2"/>
  <c r="F2" i="2"/>
  <c r="D24" i="2"/>
  <c r="D21" i="2"/>
  <c r="D12" i="2"/>
  <c r="D8" i="2"/>
  <c r="D17" i="2"/>
  <c r="D9" i="2"/>
  <c r="D23" i="2"/>
  <c r="D20" i="2"/>
  <c r="D14" i="2"/>
  <c r="D6" i="2"/>
  <c r="D3" i="2"/>
  <c r="D19" i="2"/>
  <c r="A34" i="4" a="1"/>
  <c r="A17" i="4" a="1"/>
  <c r="A6" i="4" a="1"/>
  <c r="D11" i="2"/>
  <c r="D16" i="2"/>
  <c r="D25" i="2"/>
  <c r="D22" i="2"/>
  <c r="D13" i="2"/>
  <c r="D5" i="2"/>
  <c r="D2" i="2"/>
  <c r="A25" i="4" a="1"/>
  <c r="D18" i="2"/>
  <c r="D10" i="2"/>
  <c r="D15" i="2"/>
  <c r="D7" i="2"/>
  <c r="D4" i="2"/>
  <c r="H4" i="2" l="1"/>
  <c r="H7" i="2"/>
  <c r="H15" i="2"/>
  <c r="H10" i="2"/>
  <c r="H18" i="2"/>
  <c r="A28" i="4"/>
  <c r="B27" i="4"/>
  <c r="A27" i="4"/>
  <c r="B26" i="4"/>
  <c r="A26" i="4"/>
  <c r="B29" i="4"/>
  <c r="B25" i="4"/>
  <c r="A29" i="4"/>
  <c r="B28" i="4"/>
  <c r="A25" i="4"/>
  <c r="H2" i="2"/>
  <c r="H5" i="2"/>
  <c r="H13" i="2"/>
  <c r="H22" i="2"/>
  <c r="H16" i="2"/>
  <c r="H11" i="2"/>
  <c r="A9" i="4"/>
  <c r="A8" i="4"/>
  <c r="A7" i="4"/>
  <c r="A6" i="4"/>
  <c r="A12" i="4"/>
  <c r="A11" i="4"/>
  <c r="A10" i="4"/>
  <c r="A20" i="4"/>
  <c r="A19" i="4"/>
  <c r="A18" i="4"/>
  <c r="A17" i="4"/>
  <c r="A37" i="4"/>
  <c r="A36" i="4"/>
  <c r="A35" i="4"/>
  <c r="A34" i="4"/>
  <c r="H19" i="2"/>
  <c r="H3" i="2"/>
  <c r="H6" i="2"/>
  <c r="H14" i="2"/>
  <c r="H20" i="2"/>
  <c r="H23" i="2"/>
  <c r="H9" i="2"/>
  <c r="H17" i="2"/>
  <c r="H8" i="2"/>
  <c r="H12" i="2"/>
  <c r="H21" i="2"/>
  <c r="H24" i="2"/>
</calcChain>
</file>

<file path=xl/sharedStrings.xml><?xml version="1.0" encoding="utf-8"?>
<sst xmlns="http://schemas.openxmlformats.org/spreadsheetml/2006/main" count="250" uniqueCount="164">
  <si>
    <t>DocBrisk NLOOKUP: demo workbook</t>
  </si>
  <si>
    <t>Every NLOOKUP feature with a live example, the expected answer, and Excel's own way where one exists.</t>
  </si>
  <si>
    <t>How to use it</t>
  </si>
  <si>
    <t>1.</t>
  </si>
  <si>
    <t>Install NLOOKUP from docbrisk.com/addins and open Excel.</t>
  </si>
  <si>
    <t>2.</t>
  </si>
  <si>
    <t>Activate it with your free licence key (the window appears the first time; or type =NLOOKUP.ACTIVATE() in any cell).</t>
  </si>
  <si>
    <t>3.</t>
  </si>
  <si>
    <t>Open this file. The "Examples" and "Lists" sheets calculate by themselves.</t>
  </si>
  <si>
    <t>4.</t>
  </si>
  <si>
    <t>Column "Check" shows OK when NLOOKUP gives the expected answer. Change any value on the "Data" sheet and watch the answers update.</t>
  </si>
  <si>
    <t>Good to know</t>
  </si>
  <si>
    <t>*</t>
  </si>
  <si>
    <t>Without the add-in, the NLOOKUP cells show a name error and Check shows "Install NLOOKUP".</t>
  </si>
  <si>
    <t>The "Lists" sheet uses classic array formulas, so it works in Excel 2016, 2019, 2021 and Microsoft 365.</t>
  </si>
  <si>
    <t>Two rows on "Examples" (Pune and Kolkata) show where Excel's own functions miss data that NLOOKUP finds: extra spaces and numbers stored as text.</t>
  </si>
  <si>
    <t>All data on the "Data" sheet is made up for this demo.</t>
  </si>
  <si>
    <t>#</t>
  </si>
  <si>
    <t>What it shows</t>
  </si>
  <si>
    <t>NLOOKUP formula</t>
  </si>
  <si>
    <t>NLOOKUP result</t>
  </si>
  <si>
    <t>Excel's own way</t>
  </si>
  <si>
    <t>Excel's result</t>
  </si>
  <si>
    <t>Expected</t>
  </si>
  <si>
    <t>Check</t>
  </si>
  <si>
    <t>First match</t>
  </si>
  <si>
    <t>=NLOOKUP("Mumbai", Data!$B$2:$B$31, Data!$E$2:$E$31)</t>
  </si>
  <si>
    <t>=INDEX(Data!$E$2:$E$31, MATCH("Mumbai", Data!$B$2:$B$31, 0))</t>
  </si>
  <si>
    <t>Last match (-1)</t>
  </si>
  <si>
    <t>=NLOOKUP("Mumbai", Data!$B$2:$B$31, Data!$E$2:$E$31, -1)</t>
  </si>
  <si>
    <t>=LOOKUP(2, 1/(Data!$B$2:$B$31="Mumbai"), Data!$E$2:$E$31)</t>
  </si>
  <si>
    <t>Second match (2)</t>
  </si>
  <si>
    <t>=NLOOKUP("Mumbai", Data!$B$2:$B$31, Data!$E$2:$E$31, 2)</t>
  </si>
  <si>
    <t>(no single formula in Excel)</t>
  </si>
  <si>
    <t>-</t>
  </si>
  <si>
    <t>Look to the left (code to region)</t>
  </si>
  <si>
    <t>=NLOOKUP("PO-100118", Data!$D$2:$D$31, Data!$B$2:$B$31)</t>
  </si>
  <si>
    <t>=INDEX(Data!$B$2:$B$31, MATCH("PO-100118", Data!$D$2:$D$31, 0))</t>
  </si>
  <si>
    <t>Chennai</t>
  </si>
  <si>
    <t>SUM with 2 criteria</t>
  </si>
  <si>
    <t>=NLOOKUP({"Delhi","Excel Pro"}, Data!$B$2:$C$31, Data!$E$2:$E$31, "SUM")</t>
  </si>
  <si>
    <t>=SUMIFS(Data!$E$2:$E$31, Data!$B$2:$B$31, "Delhi", Data!$C$2:$C$31, "Excel Pro")</t>
  </si>
  <si>
    <t>COUNT with an operator (&gt;=6)</t>
  </si>
  <si>
    <t>=NLOOKUP("&gt;=6", Data!$F$2:$F$31, Data!$F$2:$F$31, "COUNT")</t>
  </si>
  <si>
    <t>=COUNTIFS(Data!$F$2:$F$31, "&gt;=6")</t>
  </si>
  <si>
    <t>AVERAGE</t>
  </si>
  <si>
    <t>=NLOOKUP("Chennai", Data!$B$2:$B$31, Data!$E$2:$E$31, "AVG")</t>
  </si>
  <si>
    <t>=AVERAGEIFS(Data!$E$2:$E$31, Data!$B$2:$B$31, "Chennai")</t>
  </si>
  <si>
    <t>MAX</t>
  </si>
  <si>
    <t>=NLOOKUP("Delhi", Data!$B$2:$B$31, Data!$E$2:$E$31, "MAX")</t>
  </si>
  <si>
    <t>=_xlfn.MAXIFS(Data!$E$2:$E$31, Data!$B$2:$B$31, "Delhi")</t>
  </si>
  <si>
    <t>OR inside one criterion</t>
  </si>
  <si>
    <t>=NLOOKUP("Delhi|Chennai", Data!$B$2:$B$31, Data!$E$2:$E$31, "SUM")</t>
  </si>
  <si>
    <t>=SUMIFS(Data!$E$2:$E$31, Data!$B$2:$B$31, "Delhi") + SUMIFS(Data!$E$2:$E$31, Data!$B$2:$B$31, "Chennai")</t>
  </si>
  <si>
    <t>Date range (between)</t>
  </si>
  <si>
    <t>=NLOOKUP("2026-02-01..2026-03-31", Data!$A$2:$A$31, Data!$E$2:$E$31, "SUM")</t>
  </si>
  <si>
    <t>=SUMIFS(Data!$E$2:$E$31, Data!$A$2:$A$31, "&gt;="&amp;DATE(2026,2,1), Data!$A$2:$A$31, "&lt;="&amp;DATE(2026,3,31))</t>
  </si>
  <si>
    <t>Wildcard</t>
  </si>
  <si>
    <t>=NLOOKUP("*Pro", Data!$C$2:$C$31, Data!$C$2:$C$31, "COUNT")</t>
  </si>
  <si>
    <t>=COUNTIFS(Data!$C$2:$C$31, "*Pro")</t>
  </si>
  <si>
    <t>Blank criterion = all (dashboard filter)</t>
  </si>
  <si>
    <t>=NLOOKUP({"","OCR Pro"}, Data!$B$2:$C$31, Data!$E$2:$E$31, "SUM")</t>
  </si>
  <si>
    <t>=SUMIFS(Data!$E$2:$E$31, Data!$C$2:$C$31, "OCR Pro")</t>
  </si>
  <si>
    <t>Smart: extra spaces and capitals</t>
  </si>
  <si>
    <t>=NLOOKUP("Pune", Data!$B$2:$B$31, Data!$E$2:$E$31, "SUM")</t>
  </si>
  <si>
    <t>=SUMIFS(Data!$E$2:$E$31, Data!$B$2:$B$31, "Pune")</t>
  </si>
  <si>
    <t>Smart: numbers stored as text</t>
  </si>
  <si>
    <t>=NLOOKUP("Kolkata", Data!$B$2:$B$31, Data!$E$2:$E$31, "SUM")</t>
  </si>
  <si>
    <t>=SUMIFS(Data!$E$2:$E$31, Data!$B$2:$B$31, "Kolkata")</t>
  </si>
  <si>
    <t>Smart: 123 finds "00123"</t>
  </si>
  <si>
    <t>=NLOOKUP(123, Data!$D$2:$D$31, Data!$B$2:$B$31)</t>
  </si>
  <si>
    <t>=IFERROR(INDEX(Data!$B$2:$B$31, MATCH(123, Data!$D$2:$D$31, 0)), "MATCH cannot find it")</t>
  </si>
  <si>
    <t>Delhi</t>
  </si>
  <si>
    <t>Next smaller (tax slab for 6,50,000)</t>
  </si>
  <si>
    <t>=NLOOKUP(650000, Data!$I$7:$I$10, Data!$J$7:$J$10, , , -1)</t>
  </si>
  <si>
    <t>=INDEX(Data!$J$7:$J$10, MATCH(650000, Data!$I$7:$I$10, 1))</t>
  </si>
  <si>
    <t>Fuzzy: "Chenai" (typo) finds Chennai</t>
  </si>
  <si>
    <t>=NLOOKUP("Chenai", Data!$B$2:$B$31, Data!$E$2:$E$31, , , 5)</t>
  </si>
  <si>
    <t>Regex: count valid PO numbers</t>
  </si>
  <si>
    <t>=NLOOKUP("^PO-\d{6}$", Data!$D$2:$D$31, Data!$D$2:$D$31, "COUNT", , 3)</t>
  </si>
  <si>
    <t>Case-sensitive: only "PUNE"</t>
  </si>
  <si>
    <t>=NLOOKUP("PUNE", Data!$B$2:$B$31, Data!$E$2:$E$31, , , 4)</t>
  </si>
  <si>
    <t>Return column by header name</t>
  </si>
  <si>
    <t>=NLOOKUP("Mumbai", Data!$B$2:$B$31, Data!$A$1:$F$31, , , , "Qty")</t>
  </si>
  <si>
    <t>=INDEX(Data!$F$2:$F$31, MATCH("Mumbai", Data!$B$2:$B$31, 0))</t>
  </si>
  <si>
    <t>COUNTDISTINCT (products sold in Delhi)</t>
  </si>
  <si>
    <t>=NLOOKUP("Delhi", Data!$B$2:$B$31, Data!$C$2:$C$31, "COUNTDISTINCT")</t>
  </si>
  <si>
    <t>=SUMPRODUCT((Data!$B$2:$B$31="Delhi")/COUNTIFS(Data!$B$2:$B$31, Data!$B$2:$B$31, Data!$C$2:$C$31, Data!$C$2:$C$31))</t>
  </si>
  <si>
    <t>JOIN (all Chennai codes)</t>
  </si>
  <si>
    <t>=NLOOKUP("Chennai", Data!$B$2:$B$31, Data!$D$2:$D$31, "JOIN")</t>
  </si>
  <si>
    <t>PO-100103, PO-100107, PO-12A, PO-100118, PO-100122, PO-100127</t>
  </si>
  <si>
    <t>Not found, with your own message</t>
  </si>
  <si>
    <t>=NLOOKUP("Goa", Data!$B$2:$B$31, Data!$E$2:$E$31, , "Not found")</t>
  </si>
  <si>
    <t>=IFERROR(INDEX(Data!$E$2:$E$31, MATCH("Goa", Data!$B$2:$B$31, 0)), "Not found")</t>
  </si>
  <si>
    <t>Not found</t>
  </si>
  <si>
    <t>EXPLAIN: how NLOOKUP answered</t>
  </si>
  <si>
    <t>=NLOOKUP.EXPLAIN({"Delhi","Excel Pro"}, Data!$B$2:$C$31, Data!$E$2:$E$31, "SUM")</t>
  </si>
  <si>
    <t>Examples 13 and 14: Excel's own functions give a smaller total because they skip " pune " (extra spaces) and amounts stored as text. NLOOKUP finds them. Example 15: MATCH cannot find 123 in "00123".</t>
  </si>
  <si>
    <t>Date</t>
  </si>
  <si>
    <t>Region</t>
  </si>
  <si>
    <t>Product</t>
  </si>
  <si>
    <t>Code</t>
  </si>
  <si>
    <t>Amount</t>
  </si>
  <si>
    <t>Qty</t>
  </si>
  <si>
    <t>Notes</t>
  </si>
  <si>
    <t>Excel Pro</t>
  </si>
  <si>
    <t>PO-100101</t>
  </si>
  <si>
    <t>Rows with " pune ", "PUNE": extra spaces and capitals.</t>
  </si>
  <si>
    <t>Mumbai</t>
  </si>
  <si>
    <t>PDF Pro</t>
  </si>
  <si>
    <t>PO-100102</t>
  </si>
  <si>
    <t>Two Kolkata amounts ("1,610" and "975") are stored as text, as in many ERP exports.</t>
  </si>
  <si>
    <t>OCR Pro</t>
  </si>
  <si>
    <t>PO-100103</t>
  </si>
  <si>
    <t>Code "00123" has leading zeros; "PO-12A" is not a valid PO number.</t>
  </si>
  <si>
    <t>Pune</t>
  </si>
  <si>
    <t>Excel Lite</t>
  </si>
  <si>
    <t>PO-100104</t>
  </si>
  <si>
    <t>INV-104</t>
  </si>
  <si>
    <t>Income from</t>
  </si>
  <si>
    <t>Tax rate</t>
  </si>
  <si>
    <t>PO-100106</t>
  </si>
  <si>
    <t>PO-100107</t>
  </si>
  <si>
    <t>Kolkata</t>
  </si>
  <si>
    <t>PO-100108</t>
  </si>
  <si>
    <t>PO-100109</t>
  </si>
  <si>
    <t>INV-109</t>
  </si>
  <si>
    <t>Tax slabs for the "next smaller" example.</t>
  </si>
  <si>
    <t>PO-100111</t>
  </si>
  <si>
    <t>PO-12A</t>
  </si>
  <si>
    <t>PO-100113</t>
  </si>
  <si>
    <t>PO-100114</t>
  </si>
  <si>
    <t xml:space="preserve"> pune </t>
  </si>
  <si>
    <t>INV-114</t>
  </si>
  <si>
    <t>PO-100116</t>
  </si>
  <si>
    <t>PO-100117</t>
  </si>
  <si>
    <t>PO-100118</t>
  </si>
  <si>
    <t>PO-100119</t>
  </si>
  <si>
    <t>00123</t>
  </si>
  <si>
    <t>PUNE</t>
  </si>
  <si>
    <t>PO-100121</t>
  </si>
  <si>
    <t>PO-100122</t>
  </si>
  <si>
    <t>PO-100123</t>
  </si>
  <si>
    <t>PO-100124</t>
  </si>
  <si>
    <t>INV-124</t>
  </si>
  <si>
    <t>1,610</t>
  </si>
  <si>
    <t>PO-100126</t>
  </si>
  <si>
    <t>PO-100127</t>
  </si>
  <si>
    <t>PO-100128</t>
  </si>
  <si>
    <t>PO-100129</t>
  </si>
  <si>
    <t>975</t>
  </si>
  <si>
    <t>INV-129</t>
  </si>
  <si>
    <t>Formulas that return several cells (classic array formulas: they work in every Excel version)</t>
  </si>
  <si>
    <t>1. ALL matches: every Mumbai amount</t>
  </si>
  <si>
    <t>=NLOOKUP("Mumbai", Data!$B$2:$B$31, Data!$E$2:$E$31, "ALL")</t>
  </si>
  <si>
    <t>2. DISTINCT: products sold in Delhi</t>
  </si>
  <si>
    <t>=NLOOKUP("Delhi", Data!$B$2:$B$31, Data!$C$2:$C$31, "DISTINCT")</t>
  </si>
  <si>
    <t>3. GROUP: a pivot in one formula (total by region, largest first)</t>
  </si>
  <si>
    <t>=NLOOKUP.GROUP(Data!$B$2:$B$31, Data!$E$2:$E$31, "SUM", -1)</t>
  </si>
  <si>
    <t>4. Many lookups in ONE formula: totals for the regions in F34:F37</t>
  </si>
  <si>
    <t>=NLOOKUP(F34:F37, Data!$B$2:$B$31, Data!$E$2:$E$31, "SUM")</t>
  </si>
  <si>
    <t>Regions asked</t>
  </si>
  <si>
    <t>Goa</t>
  </si>
  <si>
    <t>Goa is not in the data, so its total is 0 (like SUMIFS).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</si>
</sst>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5" formatCode="dd\-mmm\-yyyy"/>
  </numFmts>
  <fonts count="7" x14ac:knownFonts="1">
    <font>
      <sz val="11"/>
      <color theme="1"/>
      <name val="Calibri"/>
      <family val="2"/>
      <scheme val="minor"/>
    </font>
    <font>
      <b/>
      <sz val="16"/>
      <color rgb="FF1F3B57"/>
      <name val="Arial"/>
    </font>
    <font>
      <sz val="11"/>
      <color rgb="FF555555"/>
      <name val="Arial"/>
    </font>
    <font>
      <b/>
      <sz val="10"/>
      <name val="Arial"/>
    </font>
    <font>
      <sz val="10"/>
      <name val="Arial"/>
    </font>
    <font>
      <b/>
      <sz val="10"/>
      <color rgb="FFFFFFFF"/>
      <name val="Arial"/>
    </font>
    <font>
      <sz val="9"/>
      <color rgb="FF555555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B57"/>
      </patternFill>
    </fill>
    <fill>
      <patternFill patternType="solid">
        <fgColor rgb="FFEEF3F8"/>
      </patternFill>
    </fill>
  </fills>
  <borders count="2">
    <border>
      <left/>
      <right/>
      <top/>
      <bottom/>
      <diagonal/>
    </border>
    <border>
      <left style="thin">
        <color rgb="FFC9D3DD"/>
      </left>
      <right style="thin">
        <color rgb="FFC9D3DD"/>
      </right>
      <top style="thin">
        <color rgb="FFC9D3DD"/>
      </top>
      <bottom style="thin">
        <color rgb="FFC9D3DD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vertical="top" wrapText="1"/>
    </xf>
    <xf numFmtId="0" fontId="5" fillId="2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/>
    </xf>
    <xf numFmtId="0" fontId="4" fillId="3" borderId="1" xfId="0" applyFont="1" applyFill="1" applyBorder="1" applyAlignment="1">
      <alignment vertical="top" wrapText="1"/>
    </xf>
    <xf numFmtId="3" fontId="4" fillId="3" borderId="1" xfId="0" applyNumberFormat="1" applyFont="1" applyFill="1" applyBorder="1" applyAlignment="1">
      <alignment vertical="top"/>
    </xf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3" fontId="4" fillId="0" borderId="1" xfId="0" applyNumberFormat="1" applyFont="1" applyBorder="1" applyAlignment="1">
      <alignment vertical="top"/>
    </xf>
    <xf numFmtId="4" fontId="4" fillId="3" borderId="1" xfId="0" applyNumberFormat="1" applyFont="1" applyFill="1" applyBorder="1" applyAlignment="1">
      <alignment vertical="top"/>
    </xf>
    <xf numFmtId="9" fontId="4" fillId="0" borderId="1" xfId="0" applyNumberFormat="1" applyFont="1" applyBorder="1" applyAlignment="1">
      <alignment vertical="top"/>
    </xf>
    <xf numFmtId="0" fontId="5" fillId="2" borderId="1" xfId="0" applyFont="1" applyFill="1" applyBorder="1"/>
    <xf numFmtId="165" fontId="4" fillId="0" borderId="1" xfId="0" applyNumberFormat="1" applyFont="1" applyBorder="1"/>
    <xf numFmtId="0" fontId="4" fillId="0" borderId="1" xfId="0" applyFont="1" applyBorder="1"/>
    <xf numFmtId="3" fontId="4" fillId="0" borderId="1" xfId="0" applyNumberFormat="1" applyFont="1" applyBorder="1"/>
    <xf numFmtId="165" fontId="4" fillId="3" borderId="1" xfId="0" applyNumberFormat="1" applyFont="1" applyFill="1" applyBorder="1"/>
    <xf numFmtId="0" fontId="4" fillId="3" borderId="1" xfId="0" applyFont="1" applyFill="1" applyBorder="1"/>
    <xf numFmtId="3" fontId="4" fillId="3" borderId="1" xfId="0" applyNumberFormat="1" applyFont="1" applyFill="1" applyBorder="1"/>
    <xf numFmtId="0" fontId="5" fillId="2" borderId="0" xfId="0" applyFont="1" applyFill="1"/>
    <xf numFmtId="3" fontId="4" fillId="0" borderId="0" xfId="0" applyNumberFormat="1" applyFont="1"/>
    <xf numFmtId="9" fontId="4" fillId="0" borderId="0" xfId="0" applyNumberFormat="1" applyFont="1"/>
    <xf numFmtId="49" fontId="4" fillId="0" borderId="1" xfId="0" applyNumberFormat="1" applyFont="1" applyBorder="1"/>
    <xf numFmtId="0" fontId="6" fillId="0" borderId="0" xfId="0" applyFont="1"/>
    <xf numFmtId="0" fontId="4" fillId="0" borderId="0" xfId="0" applyFont="1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F534A992-5815-4F36-AD97-42FAF4DCCEB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/>
  </sheetViews>
  <sheetFormatPr defaultRowHeight="14.5" x14ac:dyDescent="0.35"/>
  <cols>
    <col min="1" max="1" width="14" customWidth="1"/>
    <col min="2" max="2" width="110" customWidth="1"/>
  </cols>
  <sheetData>
    <row r="1" spans="1:2" ht="20" x14ac:dyDescent="0.4">
      <c r="A1" s="1" t="s">
        <v>0</v>
      </c>
    </row>
    <row r="2" spans="1:2" x14ac:dyDescent="0.35">
      <c r="A2" s="2" t="s">
        <v>1</v>
      </c>
    </row>
    <row r="4" spans="1:2" x14ac:dyDescent="0.35">
      <c r="A4" s="3" t="s">
        <v>2</v>
      </c>
    </row>
    <row r="5" spans="1:2" x14ac:dyDescent="0.35">
      <c r="A5" s="4" t="s">
        <v>3</v>
      </c>
      <c r="B5" s="5" t="s">
        <v>4</v>
      </c>
    </row>
    <row r="6" spans="1:2" x14ac:dyDescent="0.35">
      <c r="A6" s="4" t="s">
        <v>5</v>
      </c>
      <c r="B6" s="5" t="s">
        <v>6</v>
      </c>
    </row>
    <row r="7" spans="1:2" x14ac:dyDescent="0.35">
      <c r="A7" s="4" t="s">
        <v>7</v>
      </c>
      <c r="B7" s="5" t="s">
        <v>8</v>
      </c>
    </row>
    <row r="8" spans="1:2" ht="25" x14ac:dyDescent="0.35">
      <c r="A8" s="4" t="s">
        <v>9</v>
      </c>
      <c r="B8" s="5" t="s">
        <v>10</v>
      </c>
    </row>
    <row r="9" spans="1:2" x14ac:dyDescent="0.35">
      <c r="A9" s="3" t="s">
        <v>11</v>
      </c>
    </row>
    <row r="10" spans="1:2" x14ac:dyDescent="0.35">
      <c r="A10" s="4" t="s">
        <v>12</v>
      </c>
      <c r="B10" s="5" t="s">
        <v>13</v>
      </c>
    </row>
    <row r="11" spans="1:2" x14ac:dyDescent="0.35">
      <c r="A11" s="4" t="s">
        <v>12</v>
      </c>
      <c r="B11" s="5" t="s">
        <v>14</v>
      </c>
    </row>
    <row r="12" spans="1:2" ht="25" x14ac:dyDescent="0.35">
      <c r="A12" s="4" t="s">
        <v>12</v>
      </c>
      <c r="B12" s="5" t="s">
        <v>15</v>
      </c>
    </row>
    <row r="13" spans="1:2" x14ac:dyDescent="0.35">
      <c r="A13" s="4" t="s">
        <v>12</v>
      </c>
      <c r="B13" s="5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7"/>
  <sheetViews>
    <sheetView workbookViewId="0">
      <pane xSplit="2" ySplit="1" topLeftCell="D16" activePane="bottomRight" state="frozen"/>
      <selection pane="topRight"/>
      <selection pane="bottomLeft"/>
      <selection pane="bottomRight" activeCell="B27" sqref="B27:H27"/>
    </sheetView>
  </sheetViews>
  <sheetFormatPr defaultRowHeight="14.5" x14ac:dyDescent="0.35"/>
  <cols>
    <col min="1" max="1" width="4" customWidth="1"/>
    <col min="2" max="2" width="30" customWidth="1"/>
    <col min="3" max="3" width="52" customWidth="1"/>
    <col min="4" max="4" width="18" customWidth="1"/>
    <col min="5" max="5" width="46" customWidth="1"/>
    <col min="6" max="6" width="14" customWidth="1"/>
    <col min="7" max="8" width="16" customWidth="1"/>
  </cols>
  <sheetData>
    <row r="1" spans="1:8" x14ac:dyDescent="0.35">
      <c r="A1" s="6" t="s">
        <v>17</v>
      </c>
      <c r="B1" s="6" t="s">
        <v>18</v>
      </c>
      <c r="C1" s="6" t="s">
        <v>19</v>
      </c>
      <c r="D1" s="6" t="s">
        <v>20</v>
      </c>
      <c r="E1" s="6" t="s">
        <v>21</v>
      </c>
      <c r="F1" s="6" t="s">
        <v>22</v>
      </c>
      <c r="G1" s="6" t="s">
        <v>23</v>
      </c>
      <c r="H1" s="6" t="s">
        <v>24</v>
      </c>
    </row>
    <row r="2" spans="1:8" ht="25" x14ac:dyDescent="0.35">
      <c r="A2" s="7">
        <v>1</v>
      </c>
      <c r="B2" s="8" t="s">
        <v>25</v>
      </c>
      <c r="C2" s="8" t="s">
        <v>26</v>
      </c>
      <c r="D2" s="9">
        <f>_xll.NLOOKUP("Mumbai", Data!$B$2:$B$31, Data!$E$2:$E$31)</f>
        <v>860</v>
      </c>
      <c r="E2" s="8" t="s">
        <v>27</v>
      </c>
      <c r="F2" s="9">
        <f>INDEX(Data!$E$2:$E$31, MATCH("Mumbai", Data!$B$2:$B$31, 0))</f>
        <v>860</v>
      </c>
      <c r="G2" s="9">
        <v>860</v>
      </c>
      <c r="H2" s="7" t="str">
        <f>IFERROR(IF(ROUND(D2-G2,6)=0,"OK","Check"),"Install NLOOKUP")</f>
        <v>OK</v>
      </c>
    </row>
    <row r="3" spans="1:8" ht="25" x14ac:dyDescent="0.35">
      <c r="A3" s="10">
        <v>2</v>
      </c>
      <c r="B3" s="11" t="s">
        <v>28</v>
      </c>
      <c r="C3" s="11" t="s">
        <v>29</v>
      </c>
      <c r="D3" s="12">
        <f>_xll.NLOOKUP("Mumbai", Data!$B$2:$B$31, Data!$E$2:$E$31, -1)</f>
        <v>1610</v>
      </c>
      <c r="E3" s="11" t="s">
        <v>30</v>
      </c>
      <c r="F3" s="12">
        <f>LOOKUP(2, 1/(Data!$B$2:$B$31="Mumbai"), Data!$E$2:$E$31)</f>
        <v>1610</v>
      </c>
      <c r="G3" s="12">
        <v>1610</v>
      </c>
      <c r="H3" s="10" t="str">
        <f>IFERROR(IF(ROUND(D3-G3,6)=0,"OK","Check"),"Install NLOOKUP")</f>
        <v>OK</v>
      </c>
    </row>
    <row r="4" spans="1:8" ht="25" x14ac:dyDescent="0.35">
      <c r="A4" s="7">
        <v>3</v>
      </c>
      <c r="B4" s="8" t="s">
        <v>31</v>
      </c>
      <c r="C4" s="8" t="s">
        <v>32</v>
      </c>
      <c r="D4" s="9">
        <f>_xll.NLOOKUP("Mumbai", Data!$B$2:$B$31, Data!$E$2:$E$31, 2)</f>
        <v>2210</v>
      </c>
      <c r="E4" s="8" t="s">
        <v>33</v>
      </c>
      <c r="F4" s="9" t="s">
        <v>34</v>
      </c>
      <c r="G4" s="9">
        <v>2210</v>
      </c>
      <c r="H4" s="7" t="str">
        <f>IFERROR(IF(ROUND(D4-G4,6)=0,"OK","Check"),"Install NLOOKUP")</f>
        <v>OK</v>
      </c>
    </row>
    <row r="5" spans="1:8" ht="25" x14ac:dyDescent="0.35">
      <c r="A5" s="10">
        <v>4</v>
      </c>
      <c r="B5" s="11" t="s">
        <v>35</v>
      </c>
      <c r="C5" s="11" t="s">
        <v>36</v>
      </c>
      <c r="D5" s="12" t="str">
        <f>_xll.NLOOKUP("PO-100118", Data!$D$2:$D$31, Data!$B$2:$B$31)</f>
        <v>Chennai</v>
      </c>
      <c r="E5" s="11" t="s">
        <v>37</v>
      </c>
      <c r="F5" s="12" t="str">
        <f>INDEX(Data!$B$2:$B$31, MATCH("PO-100118", Data!$D$2:$D$31, 0))</f>
        <v>Chennai</v>
      </c>
      <c r="G5" s="12" t="s">
        <v>38</v>
      </c>
      <c r="H5" s="10" t="str">
        <f>IFERROR(IF(D5=G5,"OK","Check"),"Install NLOOKUP")</f>
        <v>OK</v>
      </c>
    </row>
    <row r="6" spans="1:8" ht="25" x14ac:dyDescent="0.35">
      <c r="A6" s="7">
        <v>5</v>
      </c>
      <c r="B6" s="8" t="s">
        <v>39</v>
      </c>
      <c r="C6" s="8" t="s">
        <v>40</v>
      </c>
      <c r="D6" s="9">
        <f>_xll.NLOOKUP({"Delhi","Excel Pro"}, Data!$B$2:$C$31, Data!$E$2:$E$31, "SUM")</f>
        <v>3890</v>
      </c>
      <c r="E6" s="8" t="s">
        <v>41</v>
      </c>
      <c r="F6" s="9">
        <f>SUMIFS(Data!$E$2:$E$31, Data!$B$2:$B$31, "Delhi", Data!$C$2:$C$31, "Excel Pro")</f>
        <v>3890</v>
      </c>
      <c r="G6" s="9">
        <v>3890</v>
      </c>
      <c r="H6" s="7" t="str">
        <f t="shared" ref="H6:H15" si="0">IFERROR(IF(ROUND(D6-G6,6)=0,"OK","Check"),"Install NLOOKUP")</f>
        <v>OK</v>
      </c>
    </row>
    <row r="7" spans="1:8" ht="25" x14ac:dyDescent="0.35">
      <c r="A7" s="10">
        <v>6</v>
      </c>
      <c r="B7" s="11" t="s">
        <v>42</v>
      </c>
      <c r="C7" s="11" t="s">
        <v>43</v>
      </c>
      <c r="D7" s="12">
        <f>_xll.NLOOKUP("&gt;=6", Data!$F$2:$F$31, Data!$F$2:$F$31, "COUNT")</f>
        <v>9</v>
      </c>
      <c r="E7" s="11" t="s">
        <v>44</v>
      </c>
      <c r="F7" s="12">
        <f>COUNTIFS(Data!$F$2:$F$31, "&gt;=6")</f>
        <v>9</v>
      </c>
      <c r="G7" s="12">
        <v>9</v>
      </c>
      <c r="H7" s="10" t="str">
        <f t="shared" si="0"/>
        <v>OK</v>
      </c>
    </row>
    <row r="8" spans="1:8" ht="25" x14ac:dyDescent="0.35">
      <c r="A8" s="7">
        <v>7</v>
      </c>
      <c r="B8" s="8" t="s">
        <v>45</v>
      </c>
      <c r="C8" s="8" t="s">
        <v>46</v>
      </c>
      <c r="D8" s="13">
        <f>_xll.NLOOKUP("Chennai", Data!$B$2:$B$31, Data!$E$2:$E$31, "AVG")</f>
        <v>916.66666666666663</v>
      </c>
      <c r="E8" s="8" t="s">
        <v>47</v>
      </c>
      <c r="F8" s="13">
        <f>AVERAGEIFS(Data!$E$2:$E$31, Data!$B$2:$B$31, "Chennai")</f>
        <v>916.66666666666663</v>
      </c>
      <c r="G8" s="13">
        <v>916.66666666666663</v>
      </c>
      <c r="H8" s="7" t="str">
        <f t="shared" si="0"/>
        <v>OK</v>
      </c>
    </row>
    <row r="9" spans="1:8" ht="25" x14ac:dyDescent="0.35">
      <c r="A9" s="10">
        <v>8</v>
      </c>
      <c r="B9" s="11" t="s">
        <v>48</v>
      </c>
      <c r="C9" s="11" t="s">
        <v>49</v>
      </c>
      <c r="D9" s="12">
        <f>_xll.NLOOKUP("Delhi", Data!$B$2:$B$31, Data!$E$2:$E$31, "MAX")</f>
        <v>1940</v>
      </c>
      <c r="E9" s="11" t="s">
        <v>50</v>
      </c>
      <c r="F9" s="12">
        <f>_xlfn.MAXIFS(Data!$E$2:$E$31, Data!$B$2:$B$31, "Delhi")</f>
        <v>1940</v>
      </c>
      <c r="G9" s="12">
        <v>1940</v>
      </c>
      <c r="H9" s="10" t="str">
        <f t="shared" si="0"/>
        <v>OK</v>
      </c>
    </row>
    <row r="10" spans="1:8" ht="37.5" x14ac:dyDescent="0.35">
      <c r="A10" s="7">
        <v>9</v>
      </c>
      <c r="B10" s="8" t="s">
        <v>51</v>
      </c>
      <c r="C10" s="8" t="s">
        <v>52</v>
      </c>
      <c r="D10" s="9">
        <f>_xll.NLOOKUP("Delhi|Chennai", Data!$B$2:$B$31, Data!$E$2:$E$31, "SUM")</f>
        <v>16080</v>
      </c>
      <c r="E10" s="8" t="s">
        <v>53</v>
      </c>
      <c r="F10" s="9">
        <f>SUMIFS(Data!$E$2:$E$31, Data!$B$2:$B$31, "Delhi") + SUMIFS(Data!$E$2:$E$31, Data!$B$2:$B$31, "Chennai")</f>
        <v>16080</v>
      </c>
      <c r="G10" s="9">
        <v>16080</v>
      </c>
      <c r="H10" s="7" t="str">
        <f t="shared" si="0"/>
        <v>OK</v>
      </c>
    </row>
    <row r="11" spans="1:8" ht="37.5" x14ac:dyDescent="0.35">
      <c r="A11" s="10">
        <v>10</v>
      </c>
      <c r="B11" s="11" t="s">
        <v>54</v>
      </c>
      <c r="C11" s="11" t="s">
        <v>55</v>
      </c>
      <c r="D11" s="12">
        <f>_xll.NLOOKUP("2026-02-01..2026-03-31", Data!$A$2:$A$31, Data!$E$2:$E$31, "SUM")</f>
        <v>9580</v>
      </c>
      <c r="E11" s="11" t="s">
        <v>56</v>
      </c>
      <c r="F11" s="12">
        <f>SUMIFS(Data!$E$2:$E$31, Data!$A$2:$A$31, "&gt;="&amp;DATE(2026,2,1), Data!$A$2:$A$31, "&lt;="&amp;DATE(2026,3,31))</f>
        <v>9580</v>
      </c>
      <c r="G11" s="12">
        <v>9580</v>
      </c>
      <c r="H11" s="10" t="str">
        <f t="shared" si="0"/>
        <v>OK</v>
      </c>
    </row>
    <row r="12" spans="1:8" ht="25" x14ac:dyDescent="0.35">
      <c r="A12" s="7">
        <v>11</v>
      </c>
      <c r="B12" s="8" t="s">
        <v>57</v>
      </c>
      <c r="C12" s="8" t="s">
        <v>58</v>
      </c>
      <c r="D12" s="9">
        <f>_xll.NLOOKUP("*Pro", Data!$C$2:$C$31, Data!$C$2:$C$31, "COUNT")</f>
        <v>23</v>
      </c>
      <c r="E12" s="8" t="s">
        <v>59</v>
      </c>
      <c r="F12" s="9">
        <f>COUNTIFS(Data!$C$2:$C$31, "*Pro")</f>
        <v>23</v>
      </c>
      <c r="G12" s="9">
        <v>23</v>
      </c>
      <c r="H12" s="7" t="str">
        <f t="shared" si="0"/>
        <v>OK</v>
      </c>
    </row>
    <row r="13" spans="1:8" ht="25" x14ac:dyDescent="0.35">
      <c r="A13" s="10">
        <v>12</v>
      </c>
      <c r="B13" s="11" t="s">
        <v>60</v>
      </c>
      <c r="C13" s="11" t="s">
        <v>61</v>
      </c>
      <c r="D13" s="12">
        <f>_xll.NLOOKUP({"","OCR Pro"}, Data!$B$2:$C$31, Data!$E$2:$E$31, "SUM")</f>
        <v>5910</v>
      </c>
      <c r="E13" s="11" t="s">
        <v>62</v>
      </c>
      <c r="F13" s="12">
        <f>SUMIFS(Data!$E$2:$E$31, Data!$C$2:$C$31, "OCR Pro")</f>
        <v>5910</v>
      </c>
      <c r="G13" s="12">
        <v>5910</v>
      </c>
      <c r="H13" s="10" t="str">
        <f t="shared" si="0"/>
        <v>OK</v>
      </c>
    </row>
    <row r="14" spans="1:8" ht="25" x14ac:dyDescent="0.35">
      <c r="A14" s="7">
        <v>13</v>
      </c>
      <c r="B14" s="8" t="s">
        <v>63</v>
      </c>
      <c r="C14" s="8" t="s">
        <v>64</v>
      </c>
      <c r="D14" s="9">
        <f>_xll.NLOOKUP("Pune", Data!$B$2:$B$31, Data!$E$2:$E$31, "SUM")</f>
        <v>4400</v>
      </c>
      <c r="E14" s="8" t="s">
        <v>65</v>
      </c>
      <c r="F14" s="9">
        <f>SUMIFS(Data!$E$2:$E$31, Data!$B$2:$B$31, "Pune")</f>
        <v>3490</v>
      </c>
      <c r="G14" s="9">
        <v>4400</v>
      </c>
      <c r="H14" s="7" t="str">
        <f t="shared" si="0"/>
        <v>OK</v>
      </c>
    </row>
    <row r="15" spans="1:8" ht="25" x14ac:dyDescent="0.35">
      <c r="A15" s="10">
        <v>14</v>
      </c>
      <c r="B15" s="11" t="s">
        <v>66</v>
      </c>
      <c r="C15" s="11" t="s">
        <v>67</v>
      </c>
      <c r="D15" s="12">
        <f>_xll.NLOOKUP("Kolkata", Data!$B$2:$B$31, Data!$E$2:$E$31, "SUM")</f>
        <v>4235</v>
      </c>
      <c r="E15" s="11" t="s">
        <v>68</v>
      </c>
      <c r="F15" s="12">
        <f>SUMIFS(Data!$E$2:$E$31, Data!$B$2:$B$31, "Kolkata")</f>
        <v>1650</v>
      </c>
      <c r="G15" s="12">
        <v>4235</v>
      </c>
      <c r="H15" s="10" t="str">
        <f t="shared" si="0"/>
        <v>OK</v>
      </c>
    </row>
    <row r="16" spans="1:8" ht="25" x14ac:dyDescent="0.35">
      <c r="A16" s="7">
        <v>15</v>
      </c>
      <c r="B16" s="8" t="s">
        <v>69</v>
      </c>
      <c r="C16" s="8" t="s">
        <v>70</v>
      </c>
      <c r="D16" s="9" t="str">
        <f>_xll.NLOOKUP(123, Data!$D$2:$D$31, Data!$B$2:$B$31)</f>
        <v>Delhi</v>
      </c>
      <c r="E16" s="8" t="s">
        <v>71</v>
      </c>
      <c r="F16" s="9" t="str">
        <f>IFERROR(INDEX(Data!$B$2:$B$31, MATCH(123, Data!$D$2:$D$31, 0)), "MATCH cannot find it")</f>
        <v>MATCH cannot find it</v>
      </c>
      <c r="G16" s="9" t="s">
        <v>72</v>
      </c>
      <c r="H16" s="7" t="str">
        <f>IFERROR(IF(D16=G16,"OK","Check"),"Install NLOOKUP")</f>
        <v>OK</v>
      </c>
    </row>
    <row r="17" spans="1:8" ht="25" x14ac:dyDescent="0.35">
      <c r="A17" s="10">
        <v>16</v>
      </c>
      <c r="B17" s="11" t="s">
        <v>73</v>
      </c>
      <c r="C17" s="11" t="s">
        <v>74</v>
      </c>
      <c r="D17" s="14">
        <f>_xll.NLOOKUP(650000, Data!$I$7:$I$10, Data!$J$7:$J$10, , , -1)</f>
        <v>0.2</v>
      </c>
      <c r="E17" s="11" t="s">
        <v>75</v>
      </c>
      <c r="F17" s="14">
        <f>INDEX(Data!$J$7:$J$10, MATCH(650000, Data!$I$7:$I$10, 1))</f>
        <v>0.2</v>
      </c>
      <c r="G17" s="14">
        <v>0.2</v>
      </c>
      <c r="H17" s="10" t="str">
        <f t="shared" ref="H17:H22" si="1">IFERROR(IF(ROUND(D17-G17,6)=0,"OK","Check"),"Install NLOOKUP")</f>
        <v>OK</v>
      </c>
    </row>
    <row r="18" spans="1:8" ht="25" x14ac:dyDescent="0.35">
      <c r="A18" s="7">
        <v>17</v>
      </c>
      <c r="B18" s="8" t="s">
        <v>76</v>
      </c>
      <c r="C18" s="8" t="s">
        <v>77</v>
      </c>
      <c r="D18" s="9">
        <f>_xll.NLOOKUP("Chenai", Data!$B$2:$B$31, Data!$E$2:$E$31, , , 5)</f>
        <v>430</v>
      </c>
      <c r="E18" s="8" t="s">
        <v>33</v>
      </c>
      <c r="F18" s="9" t="s">
        <v>34</v>
      </c>
      <c r="G18" s="9">
        <v>430</v>
      </c>
      <c r="H18" s="7" t="str">
        <f t="shared" si="1"/>
        <v>OK</v>
      </c>
    </row>
    <row r="19" spans="1:8" ht="25" x14ac:dyDescent="0.35">
      <c r="A19" s="10">
        <v>18</v>
      </c>
      <c r="B19" s="11" t="s">
        <v>78</v>
      </c>
      <c r="C19" s="11" t="s">
        <v>79</v>
      </c>
      <c r="D19" s="12">
        <f>_xll.NLOOKUP("^PO-\d{6}$", Data!$D$2:$D$31, Data!$D$2:$D$31, "COUNT", , 3)</f>
        <v>23</v>
      </c>
      <c r="E19" s="11" t="s">
        <v>33</v>
      </c>
      <c r="F19" s="12" t="s">
        <v>34</v>
      </c>
      <c r="G19" s="12">
        <v>23</v>
      </c>
      <c r="H19" s="10" t="str">
        <f t="shared" si="1"/>
        <v>OK</v>
      </c>
    </row>
    <row r="20" spans="1:8" ht="25" x14ac:dyDescent="0.35">
      <c r="A20" s="7">
        <v>19</v>
      </c>
      <c r="B20" s="8" t="s">
        <v>80</v>
      </c>
      <c r="C20" s="8" t="s">
        <v>81</v>
      </c>
      <c r="D20" s="9">
        <f>_xll.NLOOKUP("PUNE", Data!$B$2:$B$31, Data!$E$2:$E$31, , , 4)</f>
        <v>1330</v>
      </c>
      <c r="E20" s="8" t="s">
        <v>33</v>
      </c>
      <c r="F20" s="9" t="s">
        <v>34</v>
      </c>
      <c r="G20" s="9">
        <v>1330</v>
      </c>
      <c r="H20" s="7" t="str">
        <f t="shared" si="1"/>
        <v>OK</v>
      </c>
    </row>
    <row r="21" spans="1:8" ht="25" x14ac:dyDescent="0.35">
      <c r="A21" s="10">
        <v>20</v>
      </c>
      <c r="B21" s="11" t="s">
        <v>82</v>
      </c>
      <c r="C21" s="11" t="s">
        <v>83</v>
      </c>
      <c r="D21" s="12">
        <f>_xll.NLOOKUP("Mumbai", Data!$B$2:$B$31, Data!$A$1:$F$31, , , , "Qty")</f>
        <v>3</v>
      </c>
      <c r="E21" s="11" t="s">
        <v>84</v>
      </c>
      <c r="F21" s="12">
        <f>INDEX(Data!$F$2:$F$31, MATCH("Mumbai", Data!$B$2:$B$31, 0))</f>
        <v>3</v>
      </c>
      <c r="G21" s="12">
        <v>3</v>
      </c>
      <c r="H21" s="10" t="str">
        <f t="shared" si="1"/>
        <v>OK</v>
      </c>
    </row>
    <row r="22" spans="1:8" ht="37.5" x14ac:dyDescent="0.35">
      <c r="A22" s="7">
        <v>21</v>
      </c>
      <c r="B22" s="8" t="s">
        <v>85</v>
      </c>
      <c r="C22" s="8" t="s">
        <v>86</v>
      </c>
      <c r="D22" s="9">
        <f>_xll.NLOOKUP("Delhi", Data!$B$2:$B$31, Data!$C$2:$C$31, "COUNTDISTINCT")</f>
        <v>4</v>
      </c>
      <c r="E22" s="8" t="s">
        <v>87</v>
      </c>
      <c r="F22" s="9">
        <f>SUMPRODUCT((Data!$B$2:$B$31="Delhi")/COUNTIFS(Data!$B$2:$B$31, Data!$B$2:$B$31, Data!$C$2:$C$31, Data!$C$2:$C$31))</f>
        <v>4</v>
      </c>
      <c r="G22" s="9">
        <v>4</v>
      </c>
      <c r="H22" s="7" t="str">
        <f t="shared" si="1"/>
        <v>OK</v>
      </c>
    </row>
    <row r="23" spans="1:8" ht="25" x14ac:dyDescent="0.35">
      <c r="A23" s="10">
        <v>22</v>
      </c>
      <c r="B23" s="11" t="s">
        <v>88</v>
      </c>
      <c r="C23" s="11" t="s">
        <v>89</v>
      </c>
      <c r="D23" s="12" t="str">
        <f>_xll.NLOOKUP("Chennai", Data!$B$2:$B$31, Data!$D$2:$D$31, "JOIN")</f>
        <v>PO-100103, PO-100107, PO-12A, PO-100118, PO-100122, PO-100127</v>
      </c>
      <c r="E23" s="11" t="s">
        <v>33</v>
      </c>
      <c r="F23" s="12" t="s">
        <v>34</v>
      </c>
      <c r="G23" s="12" t="s">
        <v>90</v>
      </c>
      <c r="H23" s="10" t="str">
        <f>IFERROR(IF(D23=G23,"OK","Check"),"Install NLOOKUP")</f>
        <v>OK</v>
      </c>
    </row>
    <row r="24" spans="1:8" ht="25" x14ac:dyDescent="0.35">
      <c r="A24" s="7">
        <v>23</v>
      </c>
      <c r="B24" s="8" t="s">
        <v>91</v>
      </c>
      <c r="C24" s="8" t="s">
        <v>92</v>
      </c>
      <c r="D24" s="9" t="str">
        <f>_xll.NLOOKUP("Goa", Data!$B$2:$B$31, Data!$E$2:$E$31, , "Not found")</f>
        <v>Not found</v>
      </c>
      <c r="E24" s="8" t="s">
        <v>93</v>
      </c>
      <c r="F24" s="9" t="str">
        <f>IFERROR(INDEX(Data!$E$2:$E$31, MATCH("Goa", Data!$B$2:$B$31, 0)), "Not found")</f>
        <v>Not found</v>
      </c>
      <c r="G24" s="9" t="s">
        <v>94</v>
      </c>
      <c r="H24" s="7" t="str">
        <f>IFERROR(IF(D24=G24,"OK","Check"),"Install NLOOKUP")</f>
        <v>OK</v>
      </c>
    </row>
    <row r="25" spans="1:8" ht="25" x14ac:dyDescent="0.35">
      <c r="A25" s="10">
        <v>24</v>
      </c>
      <c r="B25" s="11" t="s">
        <v>95</v>
      </c>
      <c r="C25" s="11" t="s">
        <v>96</v>
      </c>
      <c r="D25" s="12" t="str">
        <f>_xll.NLOOKUP.EXPLAIN({"Delhi","Excel Pro"}, Data!$B$2:$C$31, Data!$E$2:$E$31, "SUM")</f>
        <v>Result: 3890 | lookup_array: 30 row(s) x 2, reused from the cache; hash index on columns 1 + 2: 3 row(s); Sum from pre-computed index totals (no scan) | 1.057 ms</v>
      </c>
      <c r="E25" s="11" t="s">
        <v>33</v>
      </c>
      <c r="F25" s="12" t="s">
        <v>34</v>
      </c>
      <c r="G25" s="12" t="s">
        <v>34</v>
      </c>
      <c r="H25" s="10" t="s">
        <v>34</v>
      </c>
    </row>
    <row r="27" spans="1:8" ht="30" customHeight="1" x14ac:dyDescent="0.35">
      <c r="B27" s="27" t="s">
        <v>97</v>
      </c>
      <c r="C27" s="28"/>
      <c r="D27" s="28"/>
      <c r="E27" s="28"/>
      <c r="F27" s="28"/>
      <c r="G27" s="28"/>
      <c r="H27" s="28"/>
    </row>
  </sheetData>
  <mergeCells count="1">
    <mergeCell ref="B27:H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3" customWidth="1"/>
    <col min="2" max="2" width="11" customWidth="1"/>
    <col min="3" max="4" width="12" customWidth="1"/>
    <col min="5" max="5" width="10" customWidth="1"/>
    <col min="6" max="6" width="7" customWidth="1"/>
    <col min="7" max="7" width="3" customWidth="1"/>
    <col min="8" max="8" width="4" customWidth="1"/>
    <col min="9" max="9" width="13" customWidth="1"/>
    <col min="10" max="10" width="10" customWidth="1"/>
  </cols>
  <sheetData>
    <row r="1" spans="1:10" x14ac:dyDescent="0.35">
      <c r="A1" s="15" t="s">
        <v>98</v>
      </c>
      <c r="B1" s="15" t="s">
        <v>99</v>
      </c>
      <c r="C1" s="15" t="s">
        <v>100</v>
      </c>
      <c r="D1" s="15" t="s">
        <v>101</v>
      </c>
      <c r="E1" s="15" t="s">
        <v>102</v>
      </c>
      <c r="F1" s="15" t="s">
        <v>103</v>
      </c>
      <c r="H1" s="3" t="s">
        <v>104</v>
      </c>
    </row>
    <row r="2" spans="1:10" x14ac:dyDescent="0.35">
      <c r="A2" s="16">
        <v>46027</v>
      </c>
      <c r="B2" s="17" t="s">
        <v>72</v>
      </c>
      <c r="C2" s="17" t="s">
        <v>105</v>
      </c>
      <c r="D2" s="17" t="s">
        <v>106</v>
      </c>
      <c r="E2" s="18">
        <v>1250</v>
      </c>
      <c r="F2" s="17">
        <v>5</v>
      </c>
      <c r="H2" s="4" t="s">
        <v>107</v>
      </c>
    </row>
    <row r="3" spans="1:10" x14ac:dyDescent="0.35">
      <c r="A3" s="19">
        <v>46033</v>
      </c>
      <c r="B3" s="20" t="s">
        <v>108</v>
      </c>
      <c r="C3" s="20" t="s">
        <v>109</v>
      </c>
      <c r="D3" s="20" t="s">
        <v>110</v>
      </c>
      <c r="E3" s="21">
        <v>860</v>
      </c>
      <c r="F3" s="20">
        <v>3</v>
      </c>
      <c r="H3" s="4" t="s">
        <v>111</v>
      </c>
    </row>
    <row r="4" spans="1:10" x14ac:dyDescent="0.35">
      <c r="A4" s="16">
        <v>46039</v>
      </c>
      <c r="B4" s="17" t="s">
        <v>38</v>
      </c>
      <c r="C4" s="17" t="s">
        <v>112</v>
      </c>
      <c r="D4" s="17" t="s">
        <v>113</v>
      </c>
      <c r="E4" s="18">
        <v>430</v>
      </c>
      <c r="F4" s="17">
        <v>2</v>
      </c>
      <c r="H4" s="4" t="s">
        <v>114</v>
      </c>
    </row>
    <row r="5" spans="1:10" x14ac:dyDescent="0.35">
      <c r="A5" s="19">
        <v>46045</v>
      </c>
      <c r="B5" s="20" t="s">
        <v>115</v>
      </c>
      <c r="C5" s="20" t="s">
        <v>116</v>
      </c>
      <c r="D5" s="20" t="s">
        <v>117</v>
      </c>
      <c r="E5" s="21">
        <v>980</v>
      </c>
      <c r="F5" s="20">
        <v>4</v>
      </c>
    </row>
    <row r="6" spans="1:10" x14ac:dyDescent="0.35">
      <c r="A6" s="16">
        <v>46051</v>
      </c>
      <c r="B6" s="17" t="s">
        <v>72</v>
      </c>
      <c r="C6" s="17" t="s">
        <v>109</v>
      </c>
      <c r="D6" s="17" t="s">
        <v>118</v>
      </c>
      <c r="E6" s="18">
        <v>1520</v>
      </c>
      <c r="F6" s="17">
        <v>6</v>
      </c>
      <c r="I6" s="22" t="s">
        <v>119</v>
      </c>
      <c r="J6" s="22" t="s">
        <v>120</v>
      </c>
    </row>
    <row r="7" spans="1:10" x14ac:dyDescent="0.35">
      <c r="A7" s="19">
        <v>46057</v>
      </c>
      <c r="B7" s="20" t="s">
        <v>108</v>
      </c>
      <c r="C7" s="20" t="s">
        <v>105</v>
      </c>
      <c r="D7" s="20" t="s">
        <v>121</v>
      </c>
      <c r="E7" s="21">
        <v>2210</v>
      </c>
      <c r="F7" s="20">
        <v>9</v>
      </c>
      <c r="I7" s="23">
        <v>0</v>
      </c>
      <c r="J7" s="24">
        <v>0</v>
      </c>
    </row>
    <row r="8" spans="1:10" x14ac:dyDescent="0.35">
      <c r="A8" s="16">
        <v>46063</v>
      </c>
      <c r="B8" s="17" t="s">
        <v>38</v>
      </c>
      <c r="C8" s="17" t="s">
        <v>116</v>
      </c>
      <c r="D8" s="17" t="s">
        <v>122</v>
      </c>
      <c r="E8" s="18">
        <v>640</v>
      </c>
      <c r="F8" s="17">
        <v>3</v>
      </c>
      <c r="I8" s="23">
        <v>250000</v>
      </c>
      <c r="J8" s="24">
        <v>0.05</v>
      </c>
    </row>
    <row r="9" spans="1:10" x14ac:dyDescent="0.35">
      <c r="A9" s="19">
        <v>46069</v>
      </c>
      <c r="B9" s="20" t="s">
        <v>123</v>
      </c>
      <c r="C9" s="20" t="s">
        <v>109</v>
      </c>
      <c r="D9" s="20" t="s">
        <v>124</v>
      </c>
      <c r="E9" s="21">
        <v>450</v>
      </c>
      <c r="F9" s="20">
        <v>2</v>
      </c>
      <c r="I9" s="23">
        <v>500000</v>
      </c>
      <c r="J9" s="24">
        <v>0.2</v>
      </c>
    </row>
    <row r="10" spans="1:10" x14ac:dyDescent="0.35">
      <c r="A10" s="16">
        <v>46075</v>
      </c>
      <c r="B10" s="17" t="s">
        <v>72</v>
      </c>
      <c r="C10" s="17" t="s">
        <v>105</v>
      </c>
      <c r="D10" s="17" t="s">
        <v>125</v>
      </c>
      <c r="E10" s="18">
        <v>700</v>
      </c>
      <c r="F10" s="17">
        <v>3</v>
      </c>
      <c r="I10" s="23">
        <v>1000000</v>
      </c>
      <c r="J10" s="24">
        <v>0.3</v>
      </c>
    </row>
    <row r="11" spans="1:10" x14ac:dyDescent="0.35">
      <c r="A11" s="19">
        <v>46081</v>
      </c>
      <c r="B11" s="20" t="s">
        <v>115</v>
      </c>
      <c r="C11" s="20" t="s">
        <v>112</v>
      </c>
      <c r="D11" s="20" t="s">
        <v>126</v>
      </c>
      <c r="E11" s="21">
        <v>1180</v>
      </c>
      <c r="F11" s="20">
        <v>5</v>
      </c>
      <c r="I11" s="4" t="s">
        <v>127</v>
      </c>
    </row>
    <row r="12" spans="1:10" x14ac:dyDescent="0.35">
      <c r="A12" s="16">
        <v>46087</v>
      </c>
      <c r="B12" s="17" t="s">
        <v>108</v>
      </c>
      <c r="C12" s="17" t="s">
        <v>116</v>
      </c>
      <c r="D12" s="17" t="s">
        <v>128</v>
      </c>
      <c r="E12" s="18">
        <v>390</v>
      </c>
      <c r="F12" s="17">
        <v>2</v>
      </c>
    </row>
    <row r="13" spans="1:10" x14ac:dyDescent="0.35">
      <c r="A13" s="19">
        <v>46093</v>
      </c>
      <c r="B13" s="20" t="s">
        <v>38</v>
      </c>
      <c r="C13" s="20" t="s">
        <v>109</v>
      </c>
      <c r="D13" s="20" t="s">
        <v>129</v>
      </c>
      <c r="E13" s="21">
        <v>1340</v>
      </c>
      <c r="F13" s="20">
        <v>6</v>
      </c>
    </row>
    <row r="14" spans="1:10" x14ac:dyDescent="0.35">
      <c r="A14" s="16">
        <v>46099</v>
      </c>
      <c r="B14" s="17" t="s">
        <v>72</v>
      </c>
      <c r="C14" s="17" t="s">
        <v>112</v>
      </c>
      <c r="D14" s="17" t="s">
        <v>130</v>
      </c>
      <c r="E14" s="18">
        <v>560</v>
      </c>
      <c r="F14" s="17">
        <v>2</v>
      </c>
    </row>
    <row r="15" spans="1:10" x14ac:dyDescent="0.35">
      <c r="A15" s="19">
        <v>46105</v>
      </c>
      <c r="B15" s="20" t="s">
        <v>123</v>
      </c>
      <c r="C15" s="20" t="s">
        <v>116</v>
      </c>
      <c r="D15" s="20" t="s">
        <v>131</v>
      </c>
      <c r="E15" s="21">
        <v>1200</v>
      </c>
      <c r="F15" s="20">
        <v>5</v>
      </c>
    </row>
    <row r="16" spans="1:10" x14ac:dyDescent="0.35">
      <c r="A16" s="16">
        <v>46111</v>
      </c>
      <c r="B16" s="17" t="s">
        <v>132</v>
      </c>
      <c r="C16" s="17" t="s">
        <v>105</v>
      </c>
      <c r="D16" s="17" t="s">
        <v>133</v>
      </c>
      <c r="E16" s="18">
        <v>910</v>
      </c>
      <c r="F16" s="17">
        <v>4</v>
      </c>
    </row>
    <row r="17" spans="1:6" x14ac:dyDescent="0.35">
      <c r="A17" s="19">
        <v>46117</v>
      </c>
      <c r="B17" s="20" t="s">
        <v>108</v>
      </c>
      <c r="C17" s="20" t="s">
        <v>112</v>
      </c>
      <c r="D17" s="20" t="s">
        <v>134</v>
      </c>
      <c r="E17" s="21">
        <v>1760</v>
      </c>
      <c r="F17" s="20">
        <v>8</v>
      </c>
    </row>
    <row r="18" spans="1:6" x14ac:dyDescent="0.35">
      <c r="A18" s="16">
        <v>46123</v>
      </c>
      <c r="B18" s="17" t="s">
        <v>72</v>
      </c>
      <c r="C18" s="17" t="s">
        <v>116</v>
      </c>
      <c r="D18" s="17" t="s">
        <v>135</v>
      </c>
      <c r="E18" s="18">
        <v>820</v>
      </c>
      <c r="F18" s="17">
        <v>3</v>
      </c>
    </row>
    <row r="19" spans="1:6" x14ac:dyDescent="0.35">
      <c r="A19" s="19">
        <v>46129</v>
      </c>
      <c r="B19" s="20" t="s">
        <v>38</v>
      </c>
      <c r="C19" s="20" t="s">
        <v>105</v>
      </c>
      <c r="D19" s="20" t="s">
        <v>136</v>
      </c>
      <c r="E19" s="21">
        <v>1490</v>
      </c>
      <c r="F19" s="20">
        <v>6</v>
      </c>
    </row>
    <row r="20" spans="1:6" x14ac:dyDescent="0.35">
      <c r="A20" s="16">
        <v>46135</v>
      </c>
      <c r="B20" s="17" t="s">
        <v>108</v>
      </c>
      <c r="C20" s="17" t="s">
        <v>109</v>
      </c>
      <c r="D20" s="17" t="s">
        <v>137</v>
      </c>
      <c r="E20" s="18">
        <v>1030</v>
      </c>
      <c r="F20" s="17">
        <v>4</v>
      </c>
    </row>
    <row r="21" spans="1:6" x14ac:dyDescent="0.35">
      <c r="A21" s="19">
        <v>46141</v>
      </c>
      <c r="B21" s="20" t="s">
        <v>72</v>
      </c>
      <c r="C21" s="20" t="s">
        <v>109</v>
      </c>
      <c r="D21" s="20" t="s">
        <v>138</v>
      </c>
      <c r="E21" s="21">
        <v>1110</v>
      </c>
      <c r="F21" s="20">
        <v>5</v>
      </c>
    </row>
    <row r="22" spans="1:6" x14ac:dyDescent="0.35">
      <c r="A22" s="16">
        <v>46147</v>
      </c>
      <c r="B22" s="17" t="s">
        <v>139</v>
      </c>
      <c r="C22" s="17" t="s">
        <v>105</v>
      </c>
      <c r="D22" s="17" t="s">
        <v>140</v>
      </c>
      <c r="E22" s="18">
        <v>1330</v>
      </c>
      <c r="F22" s="17">
        <v>6</v>
      </c>
    </row>
    <row r="23" spans="1:6" x14ac:dyDescent="0.35">
      <c r="A23" s="19">
        <v>46153</v>
      </c>
      <c r="B23" s="20" t="s">
        <v>38</v>
      </c>
      <c r="C23" s="20" t="s">
        <v>112</v>
      </c>
      <c r="D23" s="20" t="s">
        <v>141</v>
      </c>
      <c r="E23" s="21">
        <v>720</v>
      </c>
      <c r="F23" s="20">
        <v>3</v>
      </c>
    </row>
    <row r="24" spans="1:6" x14ac:dyDescent="0.35">
      <c r="A24" s="16">
        <v>46159</v>
      </c>
      <c r="B24" s="17" t="s">
        <v>72</v>
      </c>
      <c r="C24" s="17" t="s">
        <v>105</v>
      </c>
      <c r="D24" s="17" t="s">
        <v>142</v>
      </c>
      <c r="E24" s="18">
        <v>1940</v>
      </c>
      <c r="F24" s="17">
        <v>8</v>
      </c>
    </row>
    <row r="25" spans="1:6" x14ac:dyDescent="0.35">
      <c r="A25" s="19">
        <v>46165</v>
      </c>
      <c r="B25" s="20" t="s">
        <v>108</v>
      </c>
      <c r="C25" s="20" t="s">
        <v>116</v>
      </c>
      <c r="D25" s="20" t="s">
        <v>143</v>
      </c>
      <c r="E25" s="21">
        <v>480</v>
      </c>
      <c r="F25" s="20">
        <v>2</v>
      </c>
    </row>
    <row r="26" spans="1:6" x14ac:dyDescent="0.35">
      <c r="A26" s="16">
        <v>46171</v>
      </c>
      <c r="B26" s="17" t="s">
        <v>123</v>
      </c>
      <c r="C26" s="17" t="s">
        <v>105</v>
      </c>
      <c r="D26" s="17" t="s">
        <v>144</v>
      </c>
      <c r="E26" s="25" t="s">
        <v>145</v>
      </c>
      <c r="F26" s="17">
        <v>3</v>
      </c>
    </row>
    <row r="27" spans="1:6" x14ac:dyDescent="0.35">
      <c r="A27" s="19">
        <v>46177</v>
      </c>
      <c r="B27" s="20" t="s">
        <v>72</v>
      </c>
      <c r="C27" s="20" t="s">
        <v>112</v>
      </c>
      <c r="D27" s="20" t="s">
        <v>146</v>
      </c>
      <c r="E27" s="21">
        <v>1260</v>
      </c>
      <c r="F27" s="20">
        <v>5</v>
      </c>
    </row>
    <row r="28" spans="1:6" x14ac:dyDescent="0.35">
      <c r="A28" s="16">
        <v>46183</v>
      </c>
      <c r="B28" s="17" t="s">
        <v>38</v>
      </c>
      <c r="C28" s="17" t="s">
        <v>109</v>
      </c>
      <c r="D28" s="17" t="s">
        <v>147</v>
      </c>
      <c r="E28" s="18">
        <v>880</v>
      </c>
      <c r="F28" s="17">
        <v>4</v>
      </c>
    </row>
    <row r="29" spans="1:6" x14ac:dyDescent="0.35">
      <c r="A29" s="19">
        <v>46189</v>
      </c>
      <c r="B29" s="20" t="s">
        <v>108</v>
      </c>
      <c r="C29" s="20" t="s">
        <v>105</v>
      </c>
      <c r="D29" s="20" t="s">
        <v>148</v>
      </c>
      <c r="E29" s="21">
        <v>1610</v>
      </c>
      <c r="F29" s="20">
        <v>7</v>
      </c>
    </row>
    <row r="30" spans="1:6" x14ac:dyDescent="0.35">
      <c r="A30" s="16">
        <v>46195</v>
      </c>
      <c r="B30" s="17" t="s">
        <v>123</v>
      </c>
      <c r="C30" s="17" t="s">
        <v>109</v>
      </c>
      <c r="D30" s="17" t="s">
        <v>149</v>
      </c>
      <c r="E30" s="25" t="s">
        <v>150</v>
      </c>
      <c r="F30" s="17">
        <v>4</v>
      </c>
    </row>
    <row r="31" spans="1:6" x14ac:dyDescent="0.35">
      <c r="A31" s="19">
        <v>46201</v>
      </c>
      <c r="B31" s="20" t="s">
        <v>72</v>
      </c>
      <c r="C31" s="20" t="s">
        <v>116</v>
      </c>
      <c r="D31" s="20" t="s">
        <v>151</v>
      </c>
      <c r="E31" s="21">
        <v>1420</v>
      </c>
      <c r="F31" s="20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9"/>
  <sheetViews>
    <sheetView tabSelected="1" workbookViewId="0"/>
  </sheetViews>
  <sheetFormatPr defaultRowHeight="14.5" x14ac:dyDescent="0.35"/>
  <cols>
    <col min="1" max="1" width="18" customWidth="1"/>
    <col min="2" max="2" width="14" customWidth="1"/>
    <col min="3" max="3" width="4" customWidth="1"/>
    <col min="4" max="6" width="14" customWidth="1"/>
  </cols>
  <sheetData>
    <row r="1" spans="1:4" x14ac:dyDescent="0.35">
      <c r="A1" s="3" t="s">
        <v>152</v>
      </c>
    </row>
    <row r="3" spans="1:4" x14ac:dyDescent="0.35">
      <c r="A3" s="3" t="s">
        <v>153</v>
      </c>
    </row>
    <row r="4" spans="1:4" x14ac:dyDescent="0.35">
      <c r="A4" s="26" t="s">
        <v>154</v>
      </c>
    </row>
    <row r="5" spans="1:4" x14ac:dyDescent="0.35">
      <c r="A5" s="3" t="s">
        <v>20</v>
      </c>
      <c r="D5" s="3" t="s">
        <v>23</v>
      </c>
    </row>
    <row r="6" spans="1:4" x14ac:dyDescent="0.35">
      <c r="A6" s="23">
        <f t="array" ref="A6:A12">_xll.NLOOKUP("Mumbai",Data!$B$2:$B$31,Data!$E$2:$E$31,"ALL")</f>
        <v>860</v>
      </c>
      <c r="B6" s="23"/>
      <c r="D6" s="23">
        <v>860</v>
      </c>
    </row>
    <row r="7" spans="1:4" x14ac:dyDescent="0.35">
      <c r="A7" s="23">
        <v>2210</v>
      </c>
      <c r="B7" s="23"/>
      <c r="D7" s="23">
        <v>2210</v>
      </c>
    </row>
    <row r="8" spans="1:4" x14ac:dyDescent="0.35">
      <c r="A8" s="23">
        <v>390</v>
      </c>
      <c r="B8" s="23"/>
      <c r="D8" s="23">
        <v>390</v>
      </c>
    </row>
    <row r="9" spans="1:4" x14ac:dyDescent="0.35">
      <c r="A9" s="23">
        <v>1760</v>
      </c>
      <c r="B9" s="23"/>
      <c r="D9" s="23">
        <v>1760</v>
      </c>
    </row>
    <row r="10" spans="1:4" x14ac:dyDescent="0.35">
      <c r="A10" s="23">
        <v>1030</v>
      </c>
      <c r="B10" s="23"/>
      <c r="D10" s="23">
        <v>1030</v>
      </c>
    </row>
    <row r="11" spans="1:4" x14ac:dyDescent="0.35">
      <c r="A11" s="23">
        <v>480</v>
      </c>
      <c r="B11" s="23"/>
      <c r="D11" s="23">
        <v>480</v>
      </c>
    </row>
    <row r="12" spans="1:4" x14ac:dyDescent="0.35">
      <c r="A12" s="23">
        <v>1610</v>
      </c>
      <c r="B12" s="23"/>
      <c r="D12" s="23">
        <v>1610</v>
      </c>
    </row>
    <row r="14" spans="1:4" x14ac:dyDescent="0.35">
      <c r="A14" s="3" t="s">
        <v>155</v>
      </c>
    </row>
    <row r="15" spans="1:4" x14ac:dyDescent="0.35">
      <c r="A15" s="26" t="s">
        <v>156</v>
      </c>
    </row>
    <row r="16" spans="1:4" x14ac:dyDescent="0.35">
      <c r="A16" s="3" t="s">
        <v>20</v>
      </c>
      <c r="D16" s="3" t="s">
        <v>23</v>
      </c>
    </row>
    <row r="17" spans="1:5" x14ac:dyDescent="0.35">
      <c r="A17" s="23" t="str">
        <f t="array" ref="A17:A20">_xll.NLOOKUP("Delhi",Data!$B$2:$B$31,Data!$C$2:$C$31,"DISTINCT")</f>
        <v>Excel Pro</v>
      </c>
      <c r="B17" s="23"/>
      <c r="D17" s="4" t="s">
        <v>105</v>
      </c>
    </row>
    <row r="18" spans="1:5" x14ac:dyDescent="0.35">
      <c r="A18" s="23" t="str">
        <v>PDF Pro</v>
      </c>
      <c r="B18" s="23"/>
      <c r="D18" s="4" t="s">
        <v>109</v>
      </c>
    </row>
    <row r="19" spans="1:5" x14ac:dyDescent="0.35">
      <c r="A19" s="23" t="str">
        <v>OCR Pro</v>
      </c>
      <c r="B19" s="23"/>
      <c r="D19" s="4" t="s">
        <v>112</v>
      </c>
    </row>
    <row r="20" spans="1:5" x14ac:dyDescent="0.35">
      <c r="A20" s="23" t="str">
        <v>Excel Lite</v>
      </c>
      <c r="B20" s="23"/>
      <c r="D20" s="4" t="s">
        <v>116</v>
      </c>
    </row>
    <row r="22" spans="1:5" x14ac:dyDescent="0.35">
      <c r="A22" s="3" t="s">
        <v>157</v>
      </c>
    </row>
    <row r="23" spans="1:5" x14ac:dyDescent="0.35">
      <c r="A23" s="26" t="s">
        <v>158</v>
      </c>
    </row>
    <row r="24" spans="1:5" x14ac:dyDescent="0.35">
      <c r="A24" s="3" t="s">
        <v>20</v>
      </c>
      <c r="D24" s="3" t="s">
        <v>23</v>
      </c>
    </row>
    <row r="25" spans="1:5" x14ac:dyDescent="0.35">
      <c r="A25" s="23" t="str">
        <f t="array" ref="A25:B29">_xll.NLOOKUP.GROUP(Data!$B$2:$B$31,Data!$E$2:$E$31,"SUM",-1)</f>
        <v>Delhi</v>
      </c>
      <c r="B25" s="23">
        <v>10580</v>
      </c>
      <c r="D25" s="4" t="s">
        <v>72</v>
      </c>
      <c r="E25" s="23">
        <v>10580</v>
      </c>
    </row>
    <row r="26" spans="1:5" x14ac:dyDescent="0.35">
      <c r="A26" s="23" t="str">
        <v>Mumbai</v>
      </c>
      <c r="B26" s="23">
        <v>8340</v>
      </c>
      <c r="D26" s="4" t="s">
        <v>108</v>
      </c>
      <c r="E26" s="23">
        <v>8340</v>
      </c>
    </row>
    <row r="27" spans="1:5" x14ac:dyDescent="0.35">
      <c r="A27" s="23" t="str">
        <v>Chennai</v>
      </c>
      <c r="B27" s="23">
        <v>5500</v>
      </c>
      <c r="D27" s="4" t="s">
        <v>38</v>
      </c>
      <c r="E27" s="23">
        <v>5500</v>
      </c>
    </row>
    <row r="28" spans="1:5" x14ac:dyDescent="0.35">
      <c r="A28" s="23" t="str">
        <v>Pune</v>
      </c>
      <c r="B28" s="23">
        <v>4400</v>
      </c>
      <c r="D28" s="4" t="s">
        <v>115</v>
      </c>
      <c r="E28" s="23">
        <v>4400</v>
      </c>
    </row>
    <row r="29" spans="1:5" x14ac:dyDescent="0.35">
      <c r="A29" s="23" t="str">
        <v>Kolkata</v>
      </c>
      <c r="B29" s="23">
        <v>4235</v>
      </c>
      <c r="D29" s="4" t="s">
        <v>123</v>
      </c>
      <c r="E29" s="23">
        <v>4235</v>
      </c>
    </row>
    <row r="31" spans="1:5" x14ac:dyDescent="0.35">
      <c r="A31" s="3" t="s">
        <v>159</v>
      </c>
    </row>
    <row r="32" spans="1:5" x14ac:dyDescent="0.35">
      <c r="A32" s="26" t="s">
        <v>160</v>
      </c>
    </row>
    <row r="33" spans="1:6" x14ac:dyDescent="0.35">
      <c r="A33" s="3" t="s">
        <v>20</v>
      </c>
      <c r="D33" s="3" t="s">
        <v>23</v>
      </c>
      <c r="F33" s="3" t="s">
        <v>161</v>
      </c>
    </row>
    <row r="34" spans="1:6" x14ac:dyDescent="0.35">
      <c r="A34" s="23">
        <f t="array" ref="A34:A37">_xll.NLOOKUP(F34:F37,Data!$B$2:$B$31,Data!$E$2:$E$31,"SUM")</f>
        <v>10580</v>
      </c>
      <c r="D34" s="23">
        <v>10580</v>
      </c>
      <c r="F34" s="4" t="s">
        <v>72</v>
      </c>
    </row>
    <row r="35" spans="1:6" x14ac:dyDescent="0.35">
      <c r="A35" s="23">
        <v>4400</v>
      </c>
      <c r="D35" s="23">
        <v>4400</v>
      </c>
      <c r="F35" s="4" t="s">
        <v>115</v>
      </c>
    </row>
    <row r="36" spans="1:6" x14ac:dyDescent="0.35">
      <c r="A36" s="23">
        <v>0</v>
      </c>
      <c r="D36" s="23">
        <v>0</v>
      </c>
      <c r="F36" s="4" t="s">
        <v>162</v>
      </c>
    </row>
    <row r="37" spans="1:6" x14ac:dyDescent="0.35">
      <c r="A37" s="23">
        <v>8340</v>
      </c>
      <c r="D37" s="23">
        <v>8340</v>
      </c>
      <c r="F37" s="4" t="s">
        <v>108</v>
      </c>
    </row>
    <row r="39" spans="1:6" x14ac:dyDescent="0.35">
      <c r="A39" s="4" t="s">
        <v>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Start here</vt:lpstr>
      <vt:lpstr>Examples</vt:lpstr>
      <vt:lpstr>Data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NITISH YADAV</cp:lastModifiedBy>
  <dcterms:created xsi:type="dcterms:W3CDTF">2026-10-03T13:44:00Z</dcterms:created>
  <dcterms:modified xsi:type="dcterms:W3CDTF">2026-10-04T07:03:56Z</dcterms:modified>
</cp:coreProperties>
</file>